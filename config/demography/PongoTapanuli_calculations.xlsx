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2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<sst xmlns="http://schemas.openxmlformats.org/spreadsheetml/2006/main" count="34" uniqueCount="34">
  <si>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 xml:space="preserve">popsize mode</t>
  </si>
  <si>
    <t xml:space="preserve">popsize mean</t>
  </si>
  <si>
    <t xml:space="preserve">popsize 95lower</t>
  </si>
  <si>
    <t xml:space="preserve">popsize 95upper</t>
  </si>
  <si>
    <t xml:space="preserve">migrate mode</t>
  </si>
  <si>
    <t xml:space="preserve">migrate mean</t>
  </si>
  <si>
    <t xml:space="preserve">migrate 95lower</t>
  </si>
  <si>
    <t xml:space="preserve">migrate 95upper</t>
  </si>
  <si>
    <t xml:space="preserve">ST (mig time)</t>
  </si>
  <si>
    <t xml:space="preserve">BO (mig time)</t>
  </si>
  <si>
    <t xml:space="preserve">BO (mig time) within subpop</t>
  </si>
  <si>
    <t xml:space="preserve">NT (mig time)</t>
  </si>
  <si>
    <t xml:space="preserve">NT (mig time) within subpop</t>
  </si>
  <si>
    <t xml:space="preserve">NT present</t>
  </si>
  <si>
    <t xml:space="preserve">ST present</t>
  </si>
  <si>
    <t xml:space="preserve">convention from S5 – but, due to ‘backwards in time’ one has to read it in opposite direction! First population source, second population destination of genetic material (in forward time)!</t>
  </si>
  <si>
    <t xml:space="preserve">Source – Destination</t>
  </si>
  <si>
    <t>BO-ST</t>
  </si>
  <si>
    <t>ST-BO</t>
  </si>
  <si>
    <t>NT-ST</t>
  </si>
  <si>
    <t>ST-NT</t>
  </si>
  <si>
    <t xml:space="preserve">Within BO</t>
  </si>
  <si>
    <t xml:space="preserve">Within NT</t>
  </si>
  <si>
    <t xml:space="preserve">eff rates for demes yaml</t>
  </si>
  <si>
    <t xml:space="preserve">ST-NT present (not used)</t>
  </si>
  <si>
    <t xml:space="preserve">not used, because currently the model assumes that migration ends at the time of population decline</t>
  </si>
  <si>
    <t xml:space="preserve">NT-ST present (not used)</t>
  </si>
  <si>
    <t xml:space="preserve">Bornean bottleneck</t>
  </si>
  <si>
    <t xml:space="preserve">time mode</t>
  </si>
  <si>
    <t xml:space="preserve">time mean </t>
  </si>
  <si>
    <t xml:space="preserve">time 95lower</t>
  </si>
  <si>
    <t xml:space="preserve">time 95upper</t>
  </si>
  <si>
    <t>TBNENDBO</t>
  </si>
  <si>
    <t>TBNDURBO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</si>
</sst>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i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B20" activeCellId="0" sqref="B20"/>
    </sheetView>
  </sheetViews>
  <sheetFormatPr defaultColWidth="11.53515625" defaultRowHeight="12.800000000000001" customHeight="1"/>
  <cols>
    <col customWidth="1" min="1" max="1" style="0" width="29.489999999999998"/>
    <col customWidth="1" min="2" max="2" style="0" width="16.27"/>
    <col customWidth="1" min="3" max="3" style="0" width="23.370000000000001"/>
    <col customWidth="1" min="4" max="4" style="0" width="17.239999999999998"/>
    <col customWidth="1" min="5" max="5" style="0" width="15.300000000000001"/>
    <col customWidth="1" min="6" max="6" style="0" width="14.19"/>
    <col customWidth="1" min="7" max="7" style="0" width="15.85"/>
    <col customWidth="1" min="8" max="8" style="0" width="15.44"/>
    <col customWidth="1" min="9" max="9" style="0" width="14.470000000000001"/>
  </cols>
  <sheetData>
    <row r="1" s="1" customFormat="1" ht="12.800000000000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2.800000000000001">
      <c r="A2" t="s">
        <v>8</v>
      </c>
      <c r="B2">
        <v>35874</v>
      </c>
      <c r="C2">
        <v>28907</v>
      </c>
      <c r="D2">
        <v>7522</v>
      </c>
      <c r="E2">
        <v>99885</v>
      </c>
    </row>
    <row r="3" ht="12.800000000000001">
      <c r="A3" t="s">
        <v>9</v>
      </c>
      <c r="B3">
        <v>30655</v>
      </c>
      <c r="C3">
        <v>36257</v>
      </c>
      <c r="D3">
        <v>5924</v>
      </c>
      <c r="E3">
        <v>266244</v>
      </c>
    </row>
    <row r="4" ht="12.800000000000001">
      <c r="A4" t="s">
        <v>10</v>
      </c>
      <c r="B4">
        <v>1487</v>
      </c>
      <c r="C4">
        <v>1759</v>
      </c>
      <c r="D4">
        <v>407</v>
      </c>
      <c r="E4">
        <v>8002</v>
      </c>
    </row>
    <row r="5" ht="12.800000000000001">
      <c r="A5" t="s">
        <v>11</v>
      </c>
      <c r="B5">
        <v>19925</v>
      </c>
      <c r="C5">
        <v>26795</v>
      </c>
      <c r="D5">
        <v>3736</v>
      </c>
      <c r="E5">
        <v>197419</v>
      </c>
    </row>
    <row r="6" ht="12.800000000000001">
      <c r="A6" t="s">
        <v>12</v>
      </c>
      <c r="B6">
        <v>19925</v>
      </c>
      <c r="C6">
        <v>26795</v>
      </c>
      <c r="D6">
        <v>3736</v>
      </c>
      <c r="E6">
        <v>197419</v>
      </c>
    </row>
    <row r="7" ht="12.800000000000001">
      <c r="A7" t="s">
        <v>13</v>
      </c>
      <c r="B7">
        <v>2854</v>
      </c>
      <c r="C7">
        <v>3212</v>
      </c>
      <c r="D7">
        <v>517</v>
      </c>
      <c r="E7">
        <v>21691</v>
      </c>
    </row>
    <row r="8" ht="12.800000000000001">
      <c r="A8" t="s">
        <v>14</v>
      </c>
      <c r="B8">
        <v>2520</v>
      </c>
      <c r="C8">
        <v>2429</v>
      </c>
      <c r="D8">
        <v>524</v>
      </c>
      <c r="E8">
        <v>10756</v>
      </c>
    </row>
    <row r="9" ht="12.800000000000001">
      <c r="A9" s="2" t="s">
        <v>15</v>
      </c>
    </row>
    <row r="10" s="1" customFormat="1" ht="12.800000000000001">
      <c r="A10" s="1" t="s">
        <v>16</v>
      </c>
    </row>
    <row r="11" ht="12.800000000000001">
      <c r="A11" t="s">
        <v>17</v>
      </c>
      <c r="F11">
        <v>0.016</v>
      </c>
      <c r="G11">
        <v>0.021000000000000001</v>
      </c>
      <c r="H11">
        <v>0.0030000000000000001</v>
      </c>
      <c r="I11">
        <v>0.127</v>
      </c>
    </row>
    <row r="12" ht="12.800000000000001">
      <c r="A12" t="s">
        <v>18</v>
      </c>
      <c r="F12">
        <v>0.0030000000000000001</v>
      </c>
      <c r="G12">
        <v>0.0070000000000000001</v>
      </c>
      <c r="H12">
        <v>0.0030000000000000001</v>
      </c>
      <c r="I12">
        <v>0.021000000000000001</v>
      </c>
    </row>
    <row r="13" ht="12.800000000000001">
      <c r="A13" t="s">
        <v>19</v>
      </c>
      <c r="F13">
        <v>0.29399999999999998</v>
      </c>
      <c r="G13">
        <v>0.22800000000000001</v>
      </c>
      <c r="H13">
        <v>0.019</v>
      </c>
      <c r="I13">
        <v>2.1160000000000001</v>
      </c>
    </row>
    <row r="14" ht="12.800000000000001">
      <c r="A14" t="s">
        <v>20</v>
      </c>
      <c r="F14">
        <v>0.85999999999999999</v>
      </c>
      <c r="G14">
        <v>0.68700000000000006</v>
      </c>
      <c r="H14">
        <v>0.058000000000000003</v>
      </c>
      <c r="I14">
        <v>9.1660000000000004</v>
      </c>
    </row>
    <row r="15" ht="12.800000000000001">
      <c r="A15" t="s">
        <v>21</v>
      </c>
      <c r="F15">
        <v>6.8179999999999996</v>
      </c>
      <c r="G15">
        <v>1.272</v>
      </c>
      <c r="H15">
        <v>0.059999999999999998</v>
      </c>
      <c r="I15">
        <v>31.568000000000001</v>
      </c>
    </row>
    <row r="16" ht="12.800000000000001">
      <c r="A16" t="s">
        <v>22</v>
      </c>
      <c r="F16">
        <v>0.128</v>
      </c>
      <c r="G16">
        <v>0.59399999999999997</v>
      </c>
      <c r="H16">
        <v>0.032000000000000001</v>
      </c>
      <c r="I16">
        <v>14.973000000000001</v>
      </c>
    </row>
    <row r="18" s="1" customFormat="1" ht="12.800000000000001">
      <c r="A18" s="1" t="s">
        <v>23</v>
      </c>
    </row>
    <row r="20" ht="12.800000000000001">
      <c r="A20" t="s">
        <v>17</v>
      </c>
      <c r="B20">
        <f t="shared" ref="B20:B21" si="0">F11/B2</f>
        <v>4.4600546356692901e-07</v>
      </c>
      <c r="C20">
        <f t="shared" ref="C20:C21" si="1">G11/C2</f>
        <v>7.2646763759642996e-07</v>
      </c>
      <c r="D20">
        <f t="shared" ref="D20:D21" si="2">H11/D2</f>
        <v>3.9883009837809101e-07</v>
      </c>
      <c r="E20">
        <f t="shared" ref="E20:E21" si="3">I11/E2</f>
        <v>1.27146218150874e-06</v>
      </c>
    </row>
    <row r="21" ht="12.800000000000001">
      <c r="A21" t="s">
        <v>18</v>
      </c>
      <c r="B21">
        <f t="shared" si="0"/>
        <v>9.7863317566465505e-08</v>
      </c>
      <c r="C21">
        <f t="shared" si="1"/>
        <v>1.93066166533359e-07</v>
      </c>
      <c r="D21">
        <f t="shared" si="2"/>
        <v>5.0641458474004104e-07</v>
      </c>
      <c r="E21">
        <f t="shared" si="3"/>
        <v>7.8875016901789301e-08</v>
      </c>
    </row>
    <row r="22" ht="12.800000000000001">
      <c r="A22" t="s">
        <v>19</v>
      </c>
      <c r="B22">
        <f>F13/B2</f>
        <v>8.1953503930423197e-06</v>
      </c>
      <c r="C22">
        <f>G13/C2</f>
        <v>7.8873629224755303e-06</v>
      </c>
      <c r="D22">
        <f>H13/D2</f>
        <v>2.52592395639458e-06</v>
      </c>
      <c r="E22">
        <f>I13/E2</f>
        <v>2.1184362016318801e-05</v>
      </c>
    </row>
    <row r="23" ht="12.800000000000001">
      <c r="A23" t="s">
        <v>20</v>
      </c>
      <c r="B23">
        <f>F14/B5</f>
        <v>4.3161856963613599e-05</v>
      </c>
      <c r="C23">
        <f>G14/C5</f>
        <v>2.56391117745848e-05</v>
      </c>
      <c r="D23">
        <f>H14/D5</f>
        <v>1.5524625267666002e-05</v>
      </c>
      <c r="E23">
        <f>I14/E5</f>
        <v>4.642916841844e-05</v>
      </c>
    </row>
    <row r="24" ht="12.800000000000001">
      <c r="A24" t="s">
        <v>21</v>
      </c>
      <c r="B24">
        <f>F15/B4</f>
        <v>0.0045850706119704102</v>
      </c>
      <c r="C24">
        <f>G15/C4</f>
        <v>0.00072313814667424698</v>
      </c>
      <c r="D24">
        <f>H15/D4</f>
        <v>0.00014742014742014699</v>
      </c>
      <c r="E24">
        <f>I15/E4</f>
        <v>0.0039450137465633604</v>
      </c>
    </row>
    <row r="25" ht="12.800000000000001">
      <c r="A25" t="s">
        <v>22</v>
      </c>
      <c r="B25">
        <f>F16/B6</f>
        <v>6.4240903387703904e-06</v>
      </c>
      <c r="C25">
        <f>G16/C6</f>
        <v>2.21683149841388e-05</v>
      </c>
      <c r="D25">
        <f>H16/D6</f>
        <v>8.5653104925053504e-06</v>
      </c>
      <c r="E25">
        <f>I16/E6</f>
        <v>7.5843763771470804e-05</v>
      </c>
    </row>
    <row r="26" ht="12.800000000000001">
      <c r="A26" t="s">
        <v>24</v>
      </c>
      <c r="B26">
        <f>F14/B7</f>
        <v>0.00030133146461107201</v>
      </c>
      <c r="C26">
        <f>G14/C7</f>
        <v>0.00021388542963885401</v>
      </c>
      <c r="D26">
        <f>H14/D7</f>
        <v>0.00011218568665377201</v>
      </c>
      <c r="E26">
        <f>I14/E7</f>
        <v>0.00042257157346364902</v>
      </c>
      <c r="F26" t="s">
        <v>25</v>
      </c>
    </row>
    <row r="27" ht="12.800000000000001">
      <c r="A27" t="s">
        <v>26</v>
      </c>
      <c r="B27">
        <f>F13/B8</f>
        <v>0.000116666666666667</v>
      </c>
      <c r="C27">
        <f>G13/C8</f>
        <v>9.3865788390284097e-05</v>
      </c>
      <c r="D27">
        <f>H13/D8</f>
        <v>3.6259541984732803e-05</v>
      </c>
      <c r="E27">
        <f>I13/E8</f>
        <v>0.00019672740795834899</v>
      </c>
    </row>
    <row r="30" s="1" customFormat="1" ht="12.800000000000001">
      <c r="A30" s="1" t="s">
        <v>27</v>
      </c>
      <c r="B30" s="1" t="s">
        <v>28</v>
      </c>
      <c r="C30" s="1" t="s">
        <v>29</v>
      </c>
      <c r="D30" s="1" t="s">
        <v>30</v>
      </c>
      <c r="E30" s="1" t="s">
        <v>31</v>
      </c>
    </row>
    <row r="31" ht="12.800000000000001">
      <c r="A31" t="s">
        <v>32</v>
      </c>
      <c r="B31">
        <v>71969</v>
      </c>
      <c r="C31">
        <v>125689</v>
      </c>
      <c r="D31">
        <v>8848</v>
      </c>
      <c r="E31">
        <v>272775</v>
      </c>
    </row>
    <row r="32" ht="12.800000000000001">
      <c r="A32" t="s">
        <v>33</v>
      </c>
      <c r="B32">
        <v>33583</v>
      </c>
      <c r="C32">
        <v>46508</v>
      </c>
      <c r="D32">
        <v>924</v>
      </c>
      <c r="E32">
        <v>92087</v>
      </c>
    </row>
    <row r="33" ht="12.800000000000001">
      <c r="B33">
        <f>SUM(B31:B32)</f>
        <v>105552</v>
      </c>
      <c r="C33">
        <f>SUM(C31:C32)</f>
        <v>172197</v>
      </c>
      <c r="D33">
        <f>SUM(D31:D32)</f>
        <v>9772</v>
      </c>
      <c r="E33">
        <f>SUM(E31:E32)</f>
        <v>364862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en-GB</dc:language>
  <cp:revision>4</cp:revision>
  <dcterms:created xsi:type="dcterms:W3CDTF">2026-02-20T13:46:03Z</dcterms:created>
  <dcterms:modified xsi:type="dcterms:W3CDTF">2026-02-20T20:05:18Z</dcterms:modified>
</cp:coreProperties>
</file>