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xcj768/Downloads/"/>
    </mc:Choice>
  </mc:AlternateContent>
  <xr:revisionPtr revIDLastSave="0" documentId="13_ncr:1_{DB59E66E-096E-B549-A2D1-30102C0D7EEC}" xr6:coauthVersionLast="47" xr6:coauthVersionMax="47" xr10:uidLastSave="{00000000-0000-0000-0000-000000000000}"/>
  <bookViews>
    <workbookView xWindow="360" yWindow="660" windowWidth="22560" windowHeight="1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D27" i="1"/>
  <c r="E27" i="1"/>
  <c r="F27" i="1"/>
  <c r="D26" i="1"/>
  <c r="E26" i="1"/>
  <c r="F26" i="1"/>
  <c r="D25" i="1"/>
  <c r="E25" i="1"/>
  <c r="F25" i="1"/>
  <c r="C28" i="1"/>
  <c r="C27" i="1"/>
  <c r="C25" i="1"/>
  <c r="C26" i="1"/>
  <c r="D24" i="1"/>
  <c r="E24" i="1"/>
  <c r="F24" i="1"/>
  <c r="C24" i="1"/>
  <c r="D23" i="1"/>
  <c r="E23" i="1"/>
  <c r="F23" i="1"/>
  <c r="C23" i="1"/>
  <c r="F34" i="1"/>
  <c r="E34" i="1"/>
  <c r="D34" i="1"/>
  <c r="C34" i="1"/>
</calcChain>
</file>

<file path=xl/sharedStrings.xml><?xml version="1.0" encoding="utf-8"?>
<sst xmlns="http://schemas.openxmlformats.org/spreadsheetml/2006/main" count="76" uniqueCount="59">
  <si>
    <t>popsize mode</t>
  </si>
  <si>
    <t>popsize mean</t>
  </si>
  <si>
    <t>popsize 95lower</t>
  </si>
  <si>
    <t>popsize 95upper</t>
  </si>
  <si>
    <t>migrate mode</t>
  </si>
  <si>
    <t>migrate mean</t>
  </si>
  <si>
    <t>migrate 95lower</t>
  </si>
  <si>
    <t>migrate 95upper</t>
  </si>
  <si>
    <t>ST (mig time)</t>
  </si>
  <si>
    <t>BO (mig time)</t>
  </si>
  <si>
    <t>BO (mig time) within subpop</t>
  </si>
  <si>
    <t>NT (mig time)</t>
  </si>
  <si>
    <t>NT (mig time) within subpop</t>
  </si>
  <si>
    <t>NT present</t>
  </si>
  <si>
    <t>ST present</t>
  </si>
  <si>
    <t>convention from S5 – but, due to ‘backwards in time’ one has to read it in opposite direction! First population source, second population destination of genetic material (in forward time)!</t>
  </si>
  <si>
    <t>BO-ST</t>
  </si>
  <si>
    <t>ST-BO</t>
  </si>
  <si>
    <t>NT-ST</t>
  </si>
  <si>
    <t>ST-NT</t>
  </si>
  <si>
    <t>Within BO</t>
  </si>
  <si>
    <t>Within NT</t>
  </si>
  <si>
    <t>eff rates for demes yaml</t>
  </si>
  <si>
    <t>Bornean bottleneck</t>
  </si>
  <si>
    <t>time mode</t>
  </si>
  <si>
    <t xml:space="preserve">time mean </t>
  </si>
  <si>
    <t>time 95lower</t>
  </si>
  <si>
    <t>time 95upper</t>
  </si>
  <si>
    <t>TBNENDBO</t>
  </si>
  <si>
    <t>TBNDURBO</t>
  </si>
  <si>
    <t>nater_id</t>
  </si>
  <si>
    <t>NSTRUCNT (2)</t>
  </si>
  <si>
    <t xml:space="preserve">NANCST: AncNe </t>
  </si>
  <si>
    <t>NANCBO: AncNe</t>
  </si>
  <si>
    <t>NANCNT: AncNe</t>
  </si>
  <si>
    <t>NNOWNT (2): presentNe</t>
  </si>
  <si>
    <t>NNOWST: presentNe (2 subpops)</t>
  </si>
  <si>
    <t>NNOWBO (4): presentNe (4 subpops)</t>
  </si>
  <si>
    <t>NSTRUCNT (2) :predeclineNe</t>
  </si>
  <si>
    <t>NBNBO: bottleneckNe</t>
  </si>
  <si>
    <t>TBNDURBO: bottleneck duration</t>
  </si>
  <si>
    <t>TSPLITBO: BO split time</t>
  </si>
  <si>
    <t>TSPLITNT: NT split time</t>
  </si>
  <si>
    <t>NmWBO: metapop migration</t>
  </si>
  <si>
    <t>NmWNT: metapop migration</t>
  </si>
  <si>
    <t>NmBOST: migrants in ST from BO</t>
  </si>
  <si>
    <t>NmBOST: migrants in ST from NT</t>
  </si>
  <si>
    <t>NmBOST: migrants in NT from ST</t>
  </si>
  <si>
    <t>NmBOST: migrants in BO from ST, Mij = 4N0mij</t>
  </si>
  <si>
    <t>Other times</t>
  </si>
  <si>
    <t>this should be Mij/4N0 = mij</t>
  </si>
  <si>
    <r>
      <t xml:space="preserve">TBNENDBO: </t>
    </r>
    <r>
      <rPr>
        <b/>
        <sz val="10"/>
        <color theme="1"/>
        <rFont val="Arial"/>
        <family val="2"/>
      </rPr>
      <t xml:space="preserve">time since </t>
    </r>
    <r>
      <rPr>
        <sz val="10"/>
        <color theme="1"/>
        <rFont val="Arial"/>
        <family val="2"/>
      </rPr>
      <t>bottleneck ended</t>
    </r>
  </si>
  <si>
    <r>
      <t xml:space="preserve">TDECNT: </t>
    </r>
    <r>
      <rPr>
        <b/>
        <sz val="10"/>
        <color theme="1"/>
        <rFont val="Arial"/>
        <family val="2"/>
      </rPr>
      <t xml:space="preserve">time since </t>
    </r>
    <r>
      <rPr>
        <sz val="10"/>
        <color theme="1"/>
        <rFont val="Arial"/>
        <family val="2"/>
      </rPr>
      <t>pop decline</t>
    </r>
  </si>
  <si>
    <r>
      <t xml:space="preserve">TSTRUCNT: </t>
    </r>
    <r>
      <rPr>
        <b/>
        <sz val="10"/>
        <color theme="1"/>
        <rFont val="Arial"/>
        <family val="2"/>
      </rPr>
      <t xml:space="preserve">time since </t>
    </r>
    <r>
      <rPr>
        <sz val="10"/>
        <color theme="1"/>
        <rFont val="Arial"/>
        <family val="2"/>
      </rPr>
      <t>pop structure</t>
    </r>
  </si>
  <si>
    <r>
      <t xml:space="preserve">TMIGSTOP: </t>
    </r>
    <r>
      <rPr>
        <b/>
        <sz val="10"/>
        <color theme="1"/>
        <rFont val="Arial"/>
        <family val="2"/>
      </rPr>
      <t xml:space="preserve">time since </t>
    </r>
    <r>
      <rPr>
        <sz val="10"/>
        <color theme="1"/>
        <rFont val="Arial"/>
        <family val="2"/>
      </rPr>
      <t>no BO-ST migration</t>
    </r>
  </si>
  <si>
    <t>Source – Destination (I think this is the opposite, ie Destination - Source)</t>
  </si>
  <si>
    <t>NmSTBO: migrants in ST from BO</t>
  </si>
  <si>
    <t>NmNTST: migrants in NT from ST</t>
  </si>
  <si>
    <t>NmSTNT: migrants in ST from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</si>
</sst>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0" fillId="0" borderId="0" xfId="0" applyFill="1"/>
    <xf numFmtId="0" fontId="4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A46" sqref="A1:XFD46"/>
    </sheetView>
  </sheetViews>
  <sheetFormatPr baseColWidth="10" defaultColWidth="11.5" defaultRowHeight="12.75" customHeight="1" x14ac:dyDescent="0.15"/>
  <cols>
    <col min="1" max="1" width="29.5" customWidth="1"/>
    <col min="2" max="2" width="31.1640625" customWidth="1"/>
    <col min="3" max="3" width="16.33203125" customWidth="1"/>
    <col min="4" max="4" width="23.33203125" customWidth="1"/>
    <col min="5" max="5" width="17.1640625" customWidth="1"/>
    <col min="6" max="6" width="15.33203125" customWidth="1"/>
    <col min="7" max="7" width="14.1640625" customWidth="1"/>
    <col min="8" max="8" width="15.83203125" customWidth="1"/>
    <col min="9" max="9" width="15.5" customWidth="1"/>
    <col min="10" max="10" width="14.5" customWidth="1"/>
  </cols>
  <sheetData>
    <row r="1" spans="1:10" s="4" customFormat="1" ht="12.75" customHeight="1" x14ac:dyDescent="0.15">
      <c r="B1" s="4" t="s">
        <v>30</v>
      </c>
      <c r="C1" s="4" t="s">
        <v>0</v>
      </c>
      <c r="D1" s="4" t="s">
        <v>1</v>
      </c>
      <c r="E1" s="4" t="s">
        <v>2</v>
      </c>
      <c r="F1" s="4" t="s">
        <v>3</v>
      </c>
    </row>
    <row r="2" spans="1:10" s="2" customFormat="1" ht="12.75" customHeight="1" x14ac:dyDescent="0.15">
      <c r="A2" s="2" t="s">
        <v>8</v>
      </c>
      <c r="B2" s="3" t="s">
        <v>32</v>
      </c>
      <c r="C2" s="2">
        <v>35874</v>
      </c>
      <c r="D2" s="2">
        <v>28907</v>
      </c>
      <c r="E2" s="2">
        <v>7522</v>
      </c>
      <c r="F2" s="2">
        <v>99885</v>
      </c>
    </row>
    <row r="3" spans="1:10" s="2" customFormat="1" ht="12.75" customHeight="1" x14ac:dyDescent="0.15">
      <c r="A3" s="2" t="s">
        <v>9</v>
      </c>
      <c r="B3" s="3" t="s">
        <v>33</v>
      </c>
      <c r="C3" s="2">
        <v>30655</v>
      </c>
      <c r="D3" s="2">
        <v>36257</v>
      </c>
      <c r="E3" s="2">
        <v>5924</v>
      </c>
      <c r="F3" s="2">
        <v>266244</v>
      </c>
    </row>
    <row r="4" spans="1:10" s="2" customFormat="1" ht="12.75" customHeight="1" x14ac:dyDescent="0.15">
      <c r="B4" s="3" t="s">
        <v>34</v>
      </c>
      <c r="C4" s="3">
        <v>53811</v>
      </c>
      <c r="D4" s="3">
        <v>29654</v>
      </c>
      <c r="E4" s="3">
        <v>5115</v>
      </c>
      <c r="F4" s="3">
        <v>99885</v>
      </c>
    </row>
    <row r="5" spans="1:10" s="2" customFormat="1" ht="12.75" customHeight="1" x14ac:dyDescent="0.15">
      <c r="A5" s="2" t="s">
        <v>10</v>
      </c>
      <c r="B5" s="3" t="s">
        <v>37</v>
      </c>
      <c r="C5" s="2">
        <v>1487</v>
      </c>
      <c r="D5" s="2">
        <v>1759</v>
      </c>
      <c r="E5" s="2">
        <v>407</v>
      </c>
      <c r="F5" s="2">
        <v>8002</v>
      </c>
    </row>
    <row r="6" spans="1:10" s="2" customFormat="1" ht="12.75" customHeight="1" x14ac:dyDescent="0.15">
      <c r="A6" s="2" t="s">
        <v>11</v>
      </c>
      <c r="B6" s="3" t="s">
        <v>38</v>
      </c>
      <c r="C6" s="2">
        <v>19925</v>
      </c>
      <c r="D6" s="2">
        <v>26795</v>
      </c>
      <c r="E6" s="2">
        <v>3736</v>
      </c>
      <c r="F6" s="2">
        <v>197419</v>
      </c>
    </row>
    <row r="7" spans="1:10" s="2" customFormat="1" ht="12.75" customHeight="1" x14ac:dyDescent="0.15">
      <c r="A7" s="2" t="s">
        <v>12</v>
      </c>
      <c r="B7" s="3" t="s">
        <v>31</v>
      </c>
      <c r="C7" s="2">
        <v>19925</v>
      </c>
      <c r="D7" s="2">
        <v>26795</v>
      </c>
      <c r="E7" s="2">
        <v>3736</v>
      </c>
      <c r="F7" s="2">
        <v>197419</v>
      </c>
    </row>
    <row r="8" spans="1:10" s="2" customFormat="1" ht="12.75" customHeight="1" x14ac:dyDescent="0.15">
      <c r="A8" s="2" t="s">
        <v>13</v>
      </c>
      <c r="B8" s="3" t="s">
        <v>35</v>
      </c>
      <c r="C8" s="2">
        <v>2854</v>
      </c>
      <c r="D8" s="2">
        <v>3212</v>
      </c>
      <c r="E8" s="2">
        <v>517</v>
      </c>
      <c r="F8" s="2">
        <v>21691</v>
      </c>
    </row>
    <row r="9" spans="1:10" s="2" customFormat="1" ht="12.75" customHeight="1" x14ac:dyDescent="0.15">
      <c r="A9" s="2" t="s">
        <v>14</v>
      </c>
      <c r="B9" s="3" t="s">
        <v>36</v>
      </c>
      <c r="C9" s="2">
        <v>2520</v>
      </c>
      <c r="D9" s="2">
        <v>2429</v>
      </c>
      <c r="E9" s="2">
        <v>524</v>
      </c>
      <c r="F9" s="2">
        <v>10756</v>
      </c>
    </row>
    <row r="10" spans="1:10" s="2" customFormat="1" ht="12.75" customHeight="1" x14ac:dyDescent="0.15">
      <c r="B10" s="3" t="s">
        <v>39</v>
      </c>
      <c r="C10" s="3">
        <v>4473</v>
      </c>
      <c r="D10" s="3">
        <v>3719</v>
      </c>
      <c r="E10" s="2">
        <v>523</v>
      </c>
      <c r="F10" s="2">
        <v>27948</v>
      </c>
    </row>
    <row r="11" spans="1:10" s="2" customFormat="1" ht="12.75" customHeight="1" x14ac:dyDescent="0.15">
      <c r="B11" s="3"/>
    </row>
    <row r="12" spans="1:10" s="2" customFormat="1" ht="12.75" customHeight="1" x14ac:dyDescent="0.15">
      <c r="A12" s="5" t="s">
        <v>15</v>
      </c>
      <c r="B12" s="5"/>
    </row>
    <row r="13" spans="1:10" s="4" customFormat="1" ht="12.75" customHeight="1" x14ac:dyDescent="0.15">
      <c r="A13" s="4" t="s">
        <v>55</v>
      </c>
      <c r="G13" s="4" t="s">
        <v>4</v>
      </c>
      <c r="H13" s="4" t="s">
        <v>5</v>
      </c>
      <c r="I13" s="4" t="s">
        <v>6</v>
      </c>
      <c r="J13" s="4" t="s">
        <v>7</v>
      </c>
    </row>
    <row r="14" spans="1:10" s="2" customFormat="1" ht="12.75" customHeight="1" x14ac:dyDescent="0.15">
      <c r="A14" s="2" t="s">
        <v>16</v>
      </c>
      <c r="B14" s="3" t="s">
        <v>48</v>
      </c>
      <c r="G14" s="2">
        <v>1.6E-2</v>
      </c>
      <c r="H14" s="2">
        <v>2.1000000000000001E-2</v>
      </c>
      <c r="I14" s="2">
        <v>3.0000000000000001E-3</v>
      </c>
      <c r="J14" s="2">
        <v>0.127</v>
      </c>
    </row>
    <row r="15" spans="1:10" s="2" customFormat="1" ht="12.75" customHeight="1" x14ac:dyDescent="0.15">
      <c r="A15" s="2" t="s">
        <v>17</v>
      </c>
      <c r="B15" s="3" t="s">
        <v>56</v>
      </c>
      <c r="G15" s="2">
        <v>3.0000000000000001E-3</v>
      </c>
      <c r="H15" s="2">
        <v>7.0000000000000001E-3</v>
      </c>
      <c r="I15" s="2">
        <v>3.0000000000000001E-3</v>
      </c>
      <c r="J15" s="2">
        <v>2.1000000000000001E-2</v>
      </c>
    </row>
    <row r="16" spans="1:10" s="2" customFormat="1" ht="12.75" customHeight="1" x14ac:dyDescent="0.15">
      <c r="A16" s="2" t="s">
        <v>18</v>
      </c>
      <c r="B16" s="3" t="s">
        <v>57</v>
      </c>
      <c r="G16" s="2">
        <v>0.29399999999999998</v>
      </c>
      <c r="H16" s="2">
        <v>0.22800000000000001</v>
      </c>
      <c r="I16" s="2">
        <v>1.9E-2</v>
      </c>
      <c r="J16" s="2">
        <v>2.1160000000000001</v>
      </c>
    </row>
    <row r="17" spans="1:10" s="2" customFormat="1" ht="12.75" customHeight="1" x14ac:dyDescent="0.15">
      <c r="A17" s="2" t="s">
        <v>19</v>
      </c>
      <c r="B17" s="3" t="s">
        <v>58</v>
      </c>
      <c r="G17" s="2">
        <v>0.86</v>
      </c>
      <c r="H17" s="2">
        <v>0.68700000000000006</v>
      </c>
      <c r="I17" s="2">
        <v>5.8000000000000003E-2</v>
      </c>
      <c r="J17" s="2">
        <v>9.1660000000000004</v>
      </c>
    </row>
    <row r="18" spans="1:10" s="2" customFormat="1" ht="12.75" customHeight="1" x14ac:dyDescent="0.15">
      <c r="A18" s="2" t="s">
        <v>20</v>
      </c>
      <c r="B18" s="3" t="s">
        <v>43</v>
      </c>
      <c r="G18" s="2">
        <v>6.8179999999999996</v>
      </c>
      <c r="H18" s="2">
        <v>1.272</v>
      </c>
      <c r="I18" s="2">
        <v>0.06</v>
      </c>
      <c r="J18" s="2">
        <v>31.568000000000001</v>
      </c>
    </row>
    <row r="19" spans="1:10" s="2" customFormat="1" ht="12.75" customHeight="1" x14ac:dyDescent="0.15">
      <c r="A19" s="2" t="s">
        <v>21</v>
      </c>
      <c r="B19" s="3" t="s">
        <v>44</v>
      </c>
      <c r="G19" s="2">
        <v>0.128</v>
      </c>
      <c r="H19" s="2">
        <v>0.59399999999999997</v>
      </c>
      <c r="I19" s="2">
        <v>3.2000000000000001E-2</v>
      </c>
      <c r="J19" s="2">
        <v>14.973000000000001</v>
      </c>
    </row>
    <row r="20" spans="1:10" s="2" customFormat="1" ht="12.75" customHeight="1" x14ac:dyDescent="0.15"/>
    <row r="21" spans="1:10" s="4" customFormat="1" ht="12.75" customHeight="1" x14ac:dyDescent="0.15">
      <c r="A21" s="4" t="s">
        <v>22</v>
      </c>
      <c r="B21" s="6" t="s">
        <v>50</v>
      </c>
    </row>
    <row r="22" spans="1:10" s="2" customFormat="1" ht="12.75" customHeight="1" x14ac:dyDescent="0.15">
      <c r="C22" s="4" t="s">
        <v>4</v>
      </c>
      <c r="D22" s="4" t="s">
        <v>5</v>
      </c>
      <c r="E22" s="4" t="s">
        <v>6</v>
      </c>
      <c r="F22" s="4" t="s">
        <v>7</v>
      </c>
    </row>
    <row r="23" spans="1:10" s="2" customFormat="1" ht="12.75" customHeight="1" x14ac:dyDescent="0.15">
      <c r="A23" s="2" t="s">
        <v>16</v>
      </c>
      <c r="B23" s="3" t="s">
        <v>48</v>
      </c>
      <c r="C23" s="2">
        <f>G14/(4*1000)</f>
        <v>3.9999999999999998E-6</v>
      </c>
      <c r="D23" s="2">
        <f t="shared" ref="D23:F23" si="0">H14/(4*1000)</f>
        <v>5.2500000000000006E-6</v>
      </c>
      <c r="E23" s="2">
        <f t="shared" si="0"/>
        <v>7.5000000000000002E-7</v>
      </c>
      <c r="F23" s="2">
        <f t="shared" si="0"/>
        <v>3.1749999999999999E-5</v>
      </c>
    </row>
    <row r="24" spans="1:10" s="2" customFormat="1" ht="12.75" customHeight="1" x14ac:dyDescent="0.15">
      <c r="A24" s="2" t="s">
        <v>17</v>
      </c>
      <c r="B24" s="3" t="s">
        <v>45</v>
      </c>
      <c r="C24" s="2">
        <f>G15/(4*1000)</f>
        <v>7.5000000000000002E-7</v>
      </c>
      <c r="D24" s="2">
        <f t="shared" ref="D24:F28" si="1">H15/(4*1000)</f>
        <v>1.75E-6</v>
      </c>
      <c r="E24" s="2">
        <f t="shared" si="1"/>
        <v>7.5000000000000002E-7</v>
      </c>
      <c r="F24" s="2">
        <f t="shared" si="1"/>
        <v>5.2500000000000006E-6</v>
      </c>
    </row>
    <row r="25" spans="1:10" s="2" customFormat="1" ht="12.75" customHeight="1" x14ac:dyDescent="0.15">
      <c r="A25" s="2" t="s">
        <v>18</v>
      </c>
      <c r="B25" s="3" t="s">
        <v>47</v>
      </c>
      <c r="C25" s="2">
        <f t="shared" ref="C25:C28" si="2">G16/(4*1000)</f>
        <v>7.3499999999999998E-5</v>
      </c>
      <c r="D25" s="2">
        <f t="shared" si="1"/>
        <v>5.7000000000000003E-5</v>
      </c>
      <c r="E25" s="2">
        <f t="shared" si="1"/>
        <v>4.7500000000000003E-6</v>
      </c>
      <c r="F25" s="2">
        <f t="shared" si="1"/>
        <v>5.2900000000000006E-4</v>
      </c>
    </row>
    <row r="26" spans="1:10" s="2" customFormat="1" ht="12.75" customHeight="1" x14ac:dyDescent="0.15">
      <c r="A26" s="2" t="s">
        <v>19</v>
      </c>
      <c r="B26" s="3" t="s">
        <v>46</v>
      </c>
      <c r="C26" s="2">
        <f t="shared" si="2"/>
        <v>2.1499999999999999E-4</v>
      </c>
      <c r="D26" s="2">
        <f t="shared" si="1"/>
        <v>1.7175E-4</v>
      </c>
      <c r="E26" s="2">
        <f t="shared" si="1"/>
        <v>1.45E-5</v>
      </c>
      <c r="F26" s="2">
        <f t="shared" si="1"/>
        <v>2.2915000000000001E-3</v>
      </c>
    </row>
    <row r="27" spans="1:10" s="2" customFormat="1" ht="12.75" customHeight="1" x14ac:dyDescent="0.15">
      <c r="A27" s="2" t="s">
        <v>20</v>
      </c>
      <c r="B27" s="3" t="s">
        <v>43</v>
      </c>
      <c r="C27" s="2">
        <f t="shared" si="2"/>
        <v>1.7044999999999999E-3</v>
      </c>
      <c r="D27" s="2">
        <f t="shared" si="1"/>
        <v>3.1800000000000003E-4</v>
      </c>
      <c r="E27" s="2">
        <f t="shared" si="1"/>
        <v>1.4999999999999999E-5</v>
      </c>
      <c r="F27" s="2">
        <f t="shared" si="1"/>
        <v>7.8919999999999997E-3</v>
      </c>
    </row>
    <row r="28" spans="1:10" s="2" customFormat="1" ht="12.75" customHeight="1" x14ac:dyDescent="0.15">
      <c r="A28" s="2" t="s">
        <v>21</v>
      </c>
      <c r="B28" s="3" t="s">
        <v>44</v>
      </c>
      <c r="C28" s="2">
        <f t="shared" si="2"/>
        <v>3.1999999999999999E-5</v>
      </c>
      <c r="D28" s="2">
        <f t="shared" si="1"/>
        <v>1.485E-4</v>
      </c>
      <c r="E28" s="2">
        <f t="shared" si="1"/>
        <v>7.9999999999999996E-6</v>
      </c>
      <c r="F28" s="2">
        <f t="shared" si="1"/>
        <v>3.74325E-3</v>
      </c>
    </row>
    <row r="29" spans="1:10" s="2" customFormat="1" ht="12.75" customHeight="1" x14ac:dyDescent="0.15">
      <c r="B29" s="3"/>
    </row>
    <row r="30" spans="1:10" s="2" customFormat="1" ht="12.75" customHeight="1" x14ac:dyDescent="0.15"/>
    <row r="31" spans="1:10" s="4" customFormat="1" ht="12.75" customHeight="1" x14ac:dyDescent="0.15">
      <c r="A31" s="4" t="s">
        <v>23</v>
      </c>
      <c r="C31" s="4" t="s">
        <v>24</v>
      </c>
      <c r="D31" s="4" t="s">
        <v>25</v>
      </c>
      <c r="E31" s="4" t="s">
        <v>26</v>
      </c>
      <c r="F31" s="4" t="s">
        <v>27</v>
      </c>
    </row>
    <row r="32" spans="1:10" s="2" customFormat="1" ht="13" x14ac:dyDescent="0.15">
      <c r="A32" s="2" t="s">
        <v>28</v>
      </c>
      <c r="B32" s="3" t="s">
        <v>51</v>
      </c>
      <c r="C32" s="2">
        <v>71969</v>
      </c>
      <c r="D32" s="2">
        <v>125689</v>
      </c>
      <c r="E32" s="2">
        <v>8848</v>
      </c>
      <c r="F32" s="2">
        <v>272775</v>
      </c>
    </row>
    <row r="33" spans="1:6" s="2" customFormat="1" ht="13" x14ac:dyDescent="0.15">
      <c r="A33" s="2" t="s">
        <v>29</v>
      </c>
      <c r="B33" s="3" t="s">
        <v>40</v>
      </c>
      <c r="C33" s="2">
        <v>33583</v>
      </c>
      <c r="D33" s="2">
        <v>46508</v>
      </c>
      <c r="E33" s="2">
        <v>924</v>
      </c>
      <c r="F33" s="2">
        <v>92087</v>
      </c>
    </row>
    <row r="34" spans="1:6" s="2" customFormat="1" ht="13" x14ac:dyDescent="0.15">
      <c r="C34" s="2">
        <f>SUM(C32:C33)</f>
        <v>105552</v>
      </c>
      <c r="D34" s="2">
        <f>SUM(D32:D33)</f>
        <v>172197</v>
      </c>
      <c r="E34" s="2">
        <f>SUM(E32:E33)</f>
        <v>9772</v>
      </c>
      <c r="F34" s="2">
        <f>SUM(F32:F33)</f>
        <v>364862</v>
      </c>
    </row>
    <row r="35" spans="1:6" s="2" customFormat="1" ht="12.75" customHeight="1" x14ac:dyDescent="0.15"/>
    <row r="36" spans="1:6" s="2" customFormat="1" ht="12.75" customHeight="1" x14ac:dyDescent="0.15"/>
    <row r="37" spans="1:6" s="2" customFormat="1" ht="12.75" customHeight="1" x14ac:dyDescent="0.15">
      <c r="A37" s="7" t="s">
        <v>49</v>
      </c>
      <c r="C37" s="4" t="s">
        <v>24</v>
      </c>
      <c r="D37" s="4" t="s">
        <v>25</v>
      </c>
      <c r="E37" s="4" t="s">
        <v>26</v>
      </c>
      <c r="F37" s="4" t="s">
        <v>27</v>
      </c>
    </row>
    <row r="38" spans="1:6" s="2" customFormat="1" ht="12.75" customHeight="1" x14ac:dyDescent="0.15">
      <c r="B38" s="3" t="s">
        <v>41</v>
      </c>
      <c r="C38" s="3">
        <v>674055</v>
      </c>
      <c r="D38" s="2">
        <v>681760</v>
      </c>
      <c r="E38" s="2">
        <v>427878</v>
      </c>
      <c r="F38" s="2">
        <v>921400</v>
      </c>
    </row>
    <row r="39" spans="1:6" s="2" customFormat="1" ht="12.75" customHeight="1" x14ac:dyDescent="0.15">
      <c r="B39" s="3" t="s">
        <v>42</v>
      </c>
      <c r="C39" s="3">
        <v>3382200</v>
      </c>
      <c r="D39" s="2">
        <v>2827150</v>
      </c>
      <c r="E39" s="2">
        <v>1712005</v>
      </c>
      <c r="F39" s="2">
        <v>3977250</v>
      </c>
    </row>
    <row r="40" spans="1:6" s="2" customFormat="1" ht="12.75" customHeight="1" x14ac:dyDescent="0.15">
      <c r="B40" s="3" t="s">
        <v>52</v>
      </c>
      <c r="C40" s="2">
        <v>82635</v>
      </c>
      <c r="D40" s="2">
        <v>54372</v>
      </c>
      <c r="E40" s="2">
        <v>10126</v>
      </c>
      <c r="F40" s="2">
        <v>99975</v>
      </c>
    </row>
    <row r="41" spans="1:6" s="2" customFormat="1" ht="12.75" customHeight="1" x14ac:dyDescent="0.15">
      <c r="B41" s="3" t="s">
        <v>53</v>
      </c>
      <c r="C41" s="2">
        <v>1057388</v>
      </c>
      <c r="D41" s="2">
        <v>873195</v>
      </c>
      <c r="E41" s="2">
        <v>241301</v>
      </c>
      <c r="F41" s="2">
        <v>1499650</v>
      </c>
    </row>
    <row r="42" spans="1:6" s="2" customFormat="1" ht="12.75" customHeight="1" x14ac:dyDescent="0.15">
      <c r="B42" s="3" t="s">
        <v>54</v>
      </c>
      <c r="C42" s="2">
        <v>303118</v>
      </c>
      <c r="D42" s="2">
        <v>253968</v>
      </c>
      <c r="E42" s="2">
        <v>82680</v>
      </c>
      <c r="F42" s="2">
        <v>399903</v>
      </c>
    </row>
    <row r="43" spans="1:6" s="2" customFormat="1" ht="12.75" customHeight="1" x14ac:dyDescent="0.15"/>
    <row r="44" spans="1:6" s="2" customFormat="1" ht="12.75" customHeight="1" x14ac:dyDescent="0.15"/>
    <row r="45" spans="1:6" s="2" customFormat="1" ht="12.75" customHeight="1" x14ac:dyDescent="0.15"/>
    <row r="46" spans="1:6" s="2" customFormat="1" ht="12.75" customHeight="1" x14ac:dyDescent="0.15">
      <c r="A46" s="3"/>
    </row>
    <row r="47" spans="1:6" ht="12.75" customHeight="1" x14ac:dyDescent="0.15">
      <c r="A47" s="1"/>
    </row>
  </sheetData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Harvinder Kaur Pawar</cp:lastModifiedBy>
  <cp:revision>4</cp:revision>
  <dcterms:created xsi:type="dcterms:W3CDTF">2026-02-20T13:46:03Z</dcterms:created>
  <dcterms:modified xsi:type="dcterms:W3CDTF">2026-02-26T12:21:27Z</dcterms:modified>
  <dc:language>en-GB</dc:language>
</cp:coreProperties>
</file>